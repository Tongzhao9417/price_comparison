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ongzhao/Documents/Claude_Code/中转站对比小网页/data/"/>
    </mc:Choice>
  </mc:AlternateContent>
  <xr:revisionPtr revIDLastSave="0" documentId="13_ncr:1_{880BD81D-240C-E24C-984E-C6CE38219979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relay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F16" i="1"/>
  <c r="F17" i="1"/>
  <c r="C8" i="1"/>
  <c r="F13" i="1"/>
  <c r="F14" i="1"/>
  <c r="F15" i="1"/>
  <c r="F12" i="1"/>
  <c r="F11" i="1"/>
  <c r="F10" i="1"/>
  <c r="F9" i="1"/>
  <c r="F8" i="1"/>
  <c r="F7" i="1"/>
  <c r="F6" i="1"/>
  <c r="F5" i="1"/>
  <c r="F4" i="1"/>
  <c r="F3" i="1"/>
  <c r="C5" i="1"/>
  <c r="C6" i="1"/>
  <c r="C7" i="1"/>
  <c r="C9" i="1"/>
  <c r="C10" i="1"/>
  <c r="C11" i="1"/>
  <c r="C16" i="1"/>
  <c r="C3" i="1"/>
  <c r="C4" i="1"/>
</calcChain>
</file>

<file path=xl/sharedStrings.xml><?xml version="1.0" encoding="utf-8"?>
<sst xmlns="http://schemas.openxmlformats.org/spreadsheetml/2006/main" count="87" uniqueCount="50">
  <si>
    <t>中转站名称</t>
  </si>
  <si>
    <t>类型</t>
  </si>
  <si>
    <t>补全价格 &lt;br /&gt;（RMB/1 Million）</t>
  </si>
  <si>
    <t>官渠分组倍率</t>
  </si>
  <si>
    <t>真实倍率（成本倍率）</t>
  </si>
  <si>
    <t>备注</t>
  </si>
  <si>
    <t>利益相关</t>
  </si>
  <si>
    <t>[AnyRouter](https://anyrouter.top/register?aff=fj4o)</t>
  </si>
  <si>
    <t>公益站</t>
  </si>
  <si>
    <t>25</t>
  </si>
  <si>
    <t>0</t>
  </si>
  <si>
    <t>1</t>
  </si>
  <si>
    <t>每日登录签到，基线</t>
  </si>
  <si>
    <t>每天都在用</t>
  </si>
  <si>
    <t>富可敌国</t>
  </si>
  <si>
    <t>1.5</t>
  </si>
  <si>
    <t>共充值10元</t>
  </si>
  <si>
    <t>[Tiger（虎）](https://tiger.bookapi.cc/ref/C5E3)</t>
  </si>
  <si>
    <t>0.7</t>
  </si>
  <si>
    <t>共充值50元</t>
  </si>
  <si>
    <t>[RightCode](https://www.right.codes/register?aff=7845fdb4)</t>
  </si>
  <si>
    <t>0.2</t>
  </si>
  <si>
    <t>小股东套餐使用中，共充值13元</t>
  </si>
  <si>
    <t>主站可签到，令有[公益站](https://free.duckcoding.com/register?aff=ZRcQ)，kiro反代</t>
  </si>
  <si>
    <t>无</t>
  </si>
  <si>
    <t>[NekoCode](https://nekocode.ai?aff=TRPTNGM8)</t>
  </si>
  <si>
    <t>订阅制&lt;br /&gt;本统计按Pro套餐计算（299¥/月，可使用600$）</t>
  </si>
  <si>
    <t>[HorseCoding（马）](https://www.horsecoding.cc)</t>
  </si>
  <si>
    <t>他家有cc分组和claude-offical分组，我这里是按照cc分组来统计的</t>
  </si>
  <si>
    <t>最低充值30</t>
  </si>
  <si>
    <t>0.75</t>
  </si>
  <si>
    <t>9.9刀按量、另有订阅&lt;br /&gt;根据[官方说法](https://linux.do/t/topic/1510513/8?u=tongzhao)订阅 0.75 CNY/USD，按量 1.5 CNY/USD &lt;br /&gt;春节期间倍率为0.7，本统计按日常价格计算。&lt;br /&gt;有日限/周限</t>
  </si>
  <si>
    <t>购买19.9套餐</t>
  </si>
  <si>
    <t>[FoxCode(狐狸)](https://foxcode.rjj.cc/auth/register?aff=6W5J31UI)</t>
  </si>
  <si>
    <t>linkflow</t>
  </si>
  <si>
    <t>0.55</t>
  </si>
  <si>
    <t>需私聊上车，[站内地址](https://linux.do/t/topic/1092606)</t>
  </si>
  <si>
    <t>汇率 &lt;br /&gt; 1$=?¥</t>
    <phoneticPr fontId="2" type="noConversion"/>
  </si>
  <si>
    <t>最低消费（充值）&lt;br /&gt;（单位：¥）</t>
    <phoneticPr fontId="2" type="noConversion"/>
  </si>
  <si>
    <t>~~刚开业，优惠价为0.7RMB1刀~~优惠结束，现汇率改为1</t>
    <phoneticPr fontId="2" type="noConversion"/>
  </si>
  <si>
    <t>~~最低充值50~~最低充值100</t>
    <phoneticPr fontId="2" type="noConversion"/>
  </si>
  <si>
    <t>~~官渠暂时不可用~~ &lt;br /&gt;官渠恢复，倍率调整至7.5</t>
    <phoneticPr fontId="2" type="noConversion"/>
  </si>
  <si>
    <t>[PackyCode（老农）](https://www.packyapi.com/register?aff=grZq)</t>
    <phoneticPr fontId="2" type="noConversion"/>
  </si>
  <si>
    <t>[Cubence(鹅)](https://cubence.com/signup?code=SCTG7GCQ)</t>
    <phoneticPr fontId="2" type="noConversion"/>
  </si>
  <si>
    <t>[YesCode](https://co.yes.vg/register?ref=TongZhao)</t>
    <phoneticPr fontId="2" type="noConversion"/>
  </si>
  <si>
    <t>[iKun（鸡）](https://api.ikuncode.cc/register?aff=1izN)</t>
    <phoneticPr fontId="2" type="noConversion"/>
  </si>
  <si>
    <t>[DuckCoding（鸭）](https://duckcoding.com/register?aff=pQIu)</t>
    <phoneticPr fontId="2" type="noConversion"/>
  </si>
  <si>
    <t>[MonkingAI(猴)](https://www.monking.ai/register?aff=1kvd)</t>
    <phoneticPr fontId="2" type="noConversion"/>
  </si>
  <si>
    <t>富可敌国</t>
    <phoneticPr fontId="2" type="noConversion"/>
  </si>
  <si>
    <t>新开，后续价格可能会有波动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</si>
</sst>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50" workbookViewId="0">
      <selection activeCell="C23" sqref="C23"/>
    </sheetView>
  </sheetViews>
  <sheetFormatPr baseColWidth="10" defaultColWidth="8.83203125" defaultRowHeight="14"/>
  <cols>
    <col min="1" max="1" width="30" customWidth="1"/>
    <col min="2" max="2" width="10" customWidth="1"/>
    <col min="3" max="3" width="24" customWidth="1"/>
    <col min="4" max="4" width="26" customWidth="1"/>
    <col min="5" max="5" width="16" customWidth="1"/>
    <col min="6" max="7" width="20" customWidth="1"/>
    <col min="8" max="8" width="58" customWidth="1"/>
    <col min="9" max="9" width="2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38</v>
      </c>
      <c r="H1" s="1" t="s">
        <v>5</v>
      </c>
      <c r="I1" s="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  <c r="H2" t="s">
        <v>12</v>
      </c>
      <c r="I2" t="s">
        <v>13</v>
      </c>
    </row>
    <row r="3" spans="1:9">
      <c r="A3" t="s">
        <v>45</v>
      </c>
      <c r="B3" t="s">
        <v>14</v>
      </c>
      <c r="C3">
        <f>25*D3*E3</f>
        <v>37.5</v>
      </c>
      <c r="D3" t="s">
        <v>11</v>
      </c>
      <c r="E3" t="s">
        <v>15</v>
      </c>
      <c r="F3">
        <f t="shared" ref="F3:F12" si="0">E3*D3</f>
        <v>1.5</v>
      </c>
      <c r="G3">
        <v>1</v>
      </c>
      <c r="I3" t="s">
        <v>16</v>
      </c>
    </row>
    <row r="4" spans="1:9">
      <c r="A4" t="s">
        <v>17</v>
      </c>
      <c r="B4" t="s">
        <v>14</v>
      </c>
      <c r="C4">
        <f>25*D4*E4</f>
        <v>35</v>
      </c>
      <c r="D4">
        <v>2</v>
      </c>
      <c r="E4" t="s">
        <v>18</v>
      </c>
      <c r="F4">
        <f t="shared" si="0"/>
        <v>1.4</v>
      </c>
      <c r="G4">
        <v>100</v>
      </c>
      <c r="H4" t="s">
        <v>40</v>
      </c>
      <c r="I4" t="s">
        <v>19</v>
      </c>
    </row>
    <row r="5" spans="1:9">
      <c r="A5" t="s">
        <v>20</v>
      </c>
      <c r="B5" t="s">
        <v>14</v>
      </c>
      <c r="C5">
        <f t="shared" ref="C5:C18" si="1">25*D5*E5</f>
        <v>37.5</v>
      </c>
      <c r="D5" t="s">
        <v>21</v>
      </c>
      <c r="E5">
        <v>7.5</v>
      </c>
      <c r="F5">
        <f t="shared" si="0"/>
        <v>1.5</v>
      </c>
      <c r="G5">
        <v>1</v>
      </c>
      <c r="H5" t="s">
        <v>41</v>
      </c>
      <c r="I5" t="s">
        <v>22</v>
      </c>
    </row>
    <row r="6" spans="1:9">
      <c r="A6" t="s">
        <v>46</v>
      </c>
      <c r="B6" t="s">
        <v>14</v>
      </c>
      <c r="C6">
        <f t="shared" si="1"/>
        <v>37.5</v>
      </c>
      <c r="D6" t="s">
        <v>11</v>
      </c>
      <c r="E6">
        <v>1.5</v>
      </c>
      <c r="F6">
        <f t="shared" si="0"/>
        <v>1.5</v>
      </c>
      <c r="G6">
        <v>1</v>
      </c>
      <c r="H6" t="s">
        <v>23</v>
      </c>
      <c r="I6" t="s">
        <v>24</v>
      </c>
    </row>
    <row r="7" spans="1:9">
      <c r="A7" t="s">
        <v>25</v>
      </c>
      <c r="B7" t="s">
        <v>14</v>
      </c>
      <c r="C7">
        <f t="shared" si="1"/>
        <v>12.5</v>
      </c>
      <c r="D7">
        <v>0.5</v>
      </c>
      <c r="E7" t="s">
        <v>11</v>
      </c>
      <c r="F7">
        <f t="shared" si="0"/>
        <v>0.5</v>
      </c>
      <c r="G7">
        <v>299</v>
      </c>
      <c r="H7" t="s">
        <v>26</v>
      </c>
      <c r="I7" t="s">
        <v>24</v>
      </c>
    </row>
    <row r="8" spans="1:9">
      <c r="A8" t="s">
        <v>27</v>
      </c>
      <c r="B8" t="s">
        <v>14</v>
      </c>
      <c r="C8">
        <f>25*E8*D8</f>
        <v>30</v>
      </c>
      <c r="D8">
        <v>1.2</v>
      </c>
      <c r="E8">
        <v>1</v>
      </c>
      <c r="F8">
        <f t="shared" si="0"/>
        <v>1.2</v>
      </c>
      <c r="G8">
        <v>50</v>
      </c>
      <c r="H8" t="s">
        <v>39</v>
      </c>
      <c r="I8" t="s">
        <v>24</v>
      </c>
    </row>
    <row r="9" spans="1:9">
      <c r="A9" t="s">
        <v>42</v>
      </c>
      <c r="B9" t="s">
        <v>14</v>
      </c>
      <c r="C9">
        <f t="shared" si="1"/>
        <v>37.5</v>
      </c>
      <c r="D9" t="s">
        <v>11</v>
      </c>
      <c r="E9" t="s">
        <v>15</v>
      </c>
      <c r="F9">
        <f t="shared" si="0"/>
        <v>1.5</v>
      </c>
      <c r="G9">
        <v>50</v>
      </c>
      <c r="H9" t="s">
        <v>28</v>
      </c>
      <c r="I9" t="s">
        <v>24</v>
      </c>
    </row>
    <row r="10" spans="1:9">
      <c r="A10" t="s">
        <v>43</v>
      </c>
      <c r="B10" t="s">
        <v>14</v>
      </c>
      <c r="C10">
        <f t="shared" si="1"/>
        <v>37.5</v>
      </c>
      <c r="D10" t="s">
        <v>11</v>
      </c>
      <c r="E10">
        <v>1.5</v>
      </c>
      <c r="F10">
        <f t="shared" si="0"/>
        <v>1.5</v>
      </c>
      <c r="G10">
        <v>30</v>
      </c>
      <c r="H10" t="s">
        <v>29</v>
      </c>
      <c r="I10" t="s">
        <v>24</v>
      </c>
    </row>
    <row r="11" spans="1:9">
      <c r="A11" t="s">
        <v>44</v>
      </c>
      <c r="B11" t="s">
        <v>14</v>
      </c>
      <c r="C11">
        <f t="shared" si="1"/>
        <v>18.75</v>
      </c>
      <c r="D11" t="s">
        <v>30</v>
      </c>
      <c r="E11" t="s">
        <v>11</v>
      </c>
      <c r="F11">
        <f t="shared" si="0"/>
        <v>0.75</v>
      </c>
      <c r="G11">
        <v>140</v>
      </c>
      <c r="H11" t="s">
        <v>31</v>
      </c>
      <c r="I11" t="s">
        <v>32</v>
      </c>
    </row>
    <row r="12" spans="1:9">
      <c r="A12" t="s">
        <v>33</v>
      </c>
      <c r="B12" t="s">
        <v>14</v>
      </c>
      <c r="C12">
        <v>150</v>
      </c>
      <c r="D12">
        <v>0.75</v>
      </c>
      <c r="E12">
        <v>6</v>
      </c>
      <c r="F12">
        <f t="shared" si="0"/>
        <v>4.5</v>
      </c>
      <c r="G12">
        <v>15</v>
      </c>
      <c r="H12" t="s">
        <v>24</v>
      </c>
      <c r="I12" t="s">
        <v>24</v>
      </c>
    </row>
    <row r="13" spans="1:9">
      <c r="A13" t="s">
        <v>33</v>
      </c>
      <c r="B13" t="s">
        <v>14</v>
      </c>
      <c r="C13">
        <v>150</v>
      </c>
      <c r="D13">
        <v>0.35</v>
      </c>
      <c r="E13">
        <v>6</v>
      </c>
      <c r="F13">
        <f t="shared" ref="F13:F18" si="2">E13*D13</f>
        <v>2.0999999999999996</v>
      </c>
      <c r="G13">
        <v>35</v>
      </c>
      <c r="H13" t="s">
        <v>24</v>
      </c>
      <c r="I13" t="s">
        <v>24</v>
      </c>
    </row>
    <row r="14" spans="1:9">
      <c r="A14" t="s">
        <v>33</v>
      </c>
      <c r="B14" t="s">
        <v>14</v>
      </c>
      <c r="C14">
        <v>150</v>
      </c>
      <c r="D14">
        <v>0.27</v>
      </c>
      <c r="E14">
        <v>6</v>
      </c>
      <c r="F14">
        <f t="shared" si="2"/>
        <v>1.62</v>
      </c>
      <c r="G14">
        <v>135</v>
      </c>
      <c r="H14" t="s">
        <v>24</v>
      </c>
      <c r="I14" t="s">
        <v>24</v>
      </c>
    </row>
    <row r="15" spans="1:9">
      <c r="A15" t="s">
        <v>33</v>
      </c>
      <c r="B15" t="s">
        <v>14</v>
      </c>
      <c r="C15">
        <v>150</v>
      </c>
      <c r="D15">
        <v>0.23</v>
      </c>
      <c r="E15">
        <v>6</v>
      </c>
      <c r="F15">
        <f t="shared" si="2"/>
        <v>1.3800000000000001</v>
      </c>
      <c r="G15">
        <v>468</v>
      </c>
      <c r="H15" t="s">
        <v>24</v>
      </c>
      <c r="I15" t="s">
        <v>24</v>
      </c>
    </row>
    <row r="16" spans="1:9">
      <c r="A16" t="s">
        <v>34</v>
      </c>
      <c r="B16" t="s">
        <v>14</v>
      </c>
      <c r="C16" s="2">
        <f t="shared" si="1"/>
        <v>13.750000000000002</v>
      </c>
      <c r="D16" t="s">
        <v>35</v>
      </c>
      <c r="E16" t="s">
        <v>11</v>
      </c>
      <c r="F16">
        <f t="shared" si="2"/>
        <v>0.55000000000000004</v>
      </c>
      <c r="G16">
        <v>220</v>
      </c>
      <c r="H16" t="s">
        <v>36</v>
      </c>
      <c r="I16" t="s">
        <v>24</v>
      </c>
    </row>
    <row r="17" spans="1:8">
      <c r="A17" t="s">
        <v>47</v>
      </c>
      <c r="B17" t="s">
        <v>48</v>
      </c>
      <c r="C17" s="2">
        <f t="shared" si="1"/>
        <v>15</v>
      </c>
      <c r="D17">
        <v>1</v>
      </c>
      <c r="E17">
        <v>0.6</v>
      </c>
      <c r="F17">
        <f t="shared" si="2"/>
        <v>0.6</v>
      </c>
      <c r="G17">
        <v>1</v>
      </c>
      <c r="H17" t="s">
        <v>49</v>
      </c>
    </row>
    <row r="18" spans="1:8">
      <c r="C1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 Zhao</cp:lastModifiedBy>
  <dcterms:created xsi:type="dcterms:W3CDTF">2026-02-21T12:46:00Z</dcterms:created>
  <dcterms:modified xsi:type="dcterms:W3CDTF">2026-03-03T10:28:38Z</dcterms:modified>
</cp:coreProperties>
</file>